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harts/chart1.xml" ContentType="application/vnd.openxmlformats-officedocument.drawingml.chart+xml"/>
  <Override PartName="/xl/drawings/_rels/drawing2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fo" sheetId="1" state="visible" r:id="rId2"/>
    <sheet name="Harga Satuan" sheetId="2" state="visible" r:id="rId3"/>
    <sheet name="RAB" sheetId="3" state="visible" r:id="rId4"/>
    <sheet name="Rekap" sheetId="4" state="visible" r:id="rId5"/>
    <sheet name="Material" sheetId="5" state="visible" r:id="rId6"/>
  </sheets>
  <definedNames>
    <definedName function="false" hidden="false" localSheetId="1" name="_xlnm.Print_Area" vbProcedure="false">'Harga Satuan'!$A$1:$E$26</definedName>
    <definedName function="false" hidden="false" localSheetId="1" name="_xlnm.Print_Titles" vbProcedure="false">'Harga Satuan'!$1:$4</definedName>
    <definedName function="false" hidden="true" localSheetId="1" name="_xlnm._FilterDatabase" vbProcedure="false">'Harga Satuan'!$A$4:$E$26</definedName>
    <definedName function="false" hidden="false" localSheetId="0" name="_xlnm.Print_Area" vbProcedure="false">Info!$A$1:$F$28</definedName>
    <definedName function="false" hidden="false" localSheetId="0" name="_xlnm.Print_Titles" vbProcedure="false">Info!$1:$3</definedName>
    <definedName function="false" hidden="false" localSheetId="4" name="_xlnm.Print_Area" vbProcedure="false">Material!$A$1:$F$16</definedName>
    <definedName function="false" hidden="false" localSheetId="4" name="_xlnm.Print_Titles" vbProcedure="false">Material!$1:$4</definedName>
    <definedName function="false" hidden="false" localSheetId="2" name="_xlnm.Print_Area" vbProcedure="false">RAB!$A$1:$G$44</definedName>
    <definedName function="false" hidden="false" localSheetId="2" name="_xlnm.Print_Titles" vbProcedure="false">RAB!$1:$5</definedName>
    <definedName function="false" hidden="false" localSheetId="3" name="_xlnm.Print_Area" vbProcedure="false">Rekap!$A$1:$D$32</definedName>
    <definedName function="false" hidden="false" localSheetId="3" name="_xlnm.Print_Titles" vbProcedure="false">Rekap!$1:$4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<sst xmlns="http://schemas.openxmlformats.org/spreadsheetml/2006/main" count="299" uniqueCount="202">
  <si>
    <t xml:space="preserve">TEMPLATE RAB EXCEL</t>
  </si>
  <si>
    <t xml:space="preserve">Sampel jasa penyusunan RAB, rekap material, dan progress</t>
  </si>
  <si>
    <t xml:space="preserve">Angka di file ini fiktif. Ganti sel kuning sebelum dipakai klien.</t>
  </si>
  <si>
    <t xml:space="preserve">Nama proyek</t>
  </si>
  <si>
    <t xml:space="preserve">Rumah tinggal contoh — tipe 36 (FIKTIF)</t>
  </si>
  <si>
    <t xml:space="preserve">Lokasi contoh</t>
  </si>
  <si>
    <t xml:space="preserve">Balikpapan</t>
  </si>
  <si>
    <t xml:space="preserve">Pemberi kerja</t>
  </si>
  <si>
    <t xml:space="preserve">Contoh Klien, bukan proyek nyata</t>
  </si>
  <si>
    <t xml:space="preserve">Penyusun</t>
  </si>
  <si>
    <t xml:space="preserve">Fajar Tri Suhartono</t>
  </si>
  <si>
    <t xml:space="preserve">Tanggal</t>
  </si>
  <si>
    <t xml:space="preserve">2026-10-03</t>
  </si>
  <si>
    <t xml:space="preserve">Status</t>
  </si>
  <si>
    <t xml:space="preserve">Sampel jasa, bukan kontrak</t>
  </si>
  <si>
    <t xml:space="preserve">Cara pakai</t>
  </si>
  <si>
    <t xml:space="preserve">1. Isi sel kuning di sheet Harga Satuan dan RAB (volume, harga).</t>
  </si>
  <si>
    <t xml:space="preserve">2. Jumlah, rekap, PPN, dan material terhitung otomatis. Jangan ketik di sel hitam.</t>
  </si>
  <si>
    <t xml:space="preserve">3. PPN diatur di Info!C16. Default 11%.</t>
  </si>
  <si>
    <t xml:space="preserve">4. Sheet Rekap dan Material menarik angka dari RAB. Hijau = link antar sheet.</t>
  </si>
  <si>
    <t xml:space="preserve">5. Sampel ini tidak memakai data klien lama.</t>
  </si>
  <si>
    <t xml:space="preserve">PPN</t>
  </si>
  <si>
    <t xml:space="preserve">Ubah hanya sel ini</t>
  </si>
  <si>
    <t xml:space="preserve">Isi workbook</t>
  </si>
  <si>
    <t xml:space="preserve">Sheet</t>
  </si>
  <si>
    <t xml:space="preserve">Fungsi</t>
  </si>
  <si>
    <t xml:space="preserve">Info</t>
  </si>
  <si>
    <t xml:space="preserve">Identitas proyek dan tarif PPN</t>
  </si>
  <si>
    <t xml:space="preserve">Harga Satuan</t>
  </si>
  <si>
    <t xml:space="preserve">Daftar harga upah dan material (input)</t>
  </si>
  <si>
    <t xml:space="preserve">RAB</t>
  </si>
  <si>
    <t xml:space="preserve">Volume x harga satuan = jumlah, per kelompok pekerjaan</t>
  </si>
  <si>
    <t xml:space="preserve">Rekap</t>
  </si>
  <si>
    <t xml:space="preserve">Ringkasan biaya, PPN, dan grand total</t>
  </si>
  <si>
    <t xml:space="preserve">Material</t>
  </si>
  <si>
    <t xml:space="preserve">Kebutuhan material terpilih, terhubung ke volume RAB</t>
  </si>
  <si>
    <t xml:space="preserve">HARGA SATUAN PEKERJAAN — CONTOH FIKTIF</t>
  </si>
  <si>
    <t xml:space="preserve">Kode</t>
  </si>
  <si>
    <t xml:space="preserve">Uraian</t>
  </si>
  <si>
    <t xml:space="preserve">Satuan</t>
  </si>
  <si>
    <t xml:space="preserve">Harga satuan (Rp)</t>
  </si>
  <si>
    <t xml:space="preserve">Catatan</t>
  </si>
  <si>
    <t xml:space="preserve">P-01</t>
  </si>
  <si>
    <t xml:space="preserve">Pembersihan lahan</t>
  </si>
  <si>
    <t xml:space="preserve">m2</t>
  </si>
  <si>
    <t xml:space="preserve">Upah</t>
  </si>
  <si>
    <t xml:space="preserve">P-02</t>
  </si>
  <si>
    <t xml:space="preserve">Bowplank</t>
  </si>
  <si>
    <t xml:space="preserve">m</t>
  </si>
  <si>
    <t xml:space="preserve">Upah + material ringan</t>
  </si>
  <si>
    <t xml:space="preserve">P-03</t>
  </si>
  <si>
    <t xml:space="preserve">Galian tanah pondasi</t>
  </si>
  <si>
    <t xml:space="preserve">m3</t>
  </si>
  <si>
    <t xml:space="preserve">P-04</t>
  </si>
  <si>
    <t xml:space="preserve">Urugan pasir bawah pondasi</t>
  </si>
  <si>
    <t xml:space="preserve">Material + pasang</t>
  </si>
  <si>
    <t xml:space="preserve">P-05</t>
  </si>
  <si>
    <t xml:space="preserve">Pondasi batu kali 1:4</t>
  </si>
  <si>
    <t xml:space="preserve">Material + upah</t>
  </si>
  <si>
    <t xml:space="preserve">P-06</t>
  </si>
  <si>
    <t xml:space="preserve">Sloof 15/20 beton K-225</t>
  </si>
  <si>
    <t xml:space="preserve">Beton + bekisting + besi sederhana</t>
  </si>
  <si>
    <t xml:space="preserve">P-07</t>
  </si>
  <si>
    <t xml:space="preserve">Kolom praktis 15/15</t>
  </si>
  <si>
    <t xml:space="preserve">Termasuk besi pokok contoh</t>
  </si>
  <si>
    <t xml:space="preserve">P-08</t>
  </si>
  <si>
    <t xml:space="preserve">Balok latai 15/20</t>
  </si>
  <si>
    <t xml:space="preserve">Beton + bekisting</t>
  </si>
  <si>
    <t xml:space="preserve">P-09</t>
  </si>
  <si>
    <t xml:space="preserve">Pelat lantai t=10 cm</t>
  </si>
  <si>
    <t xml:space="preserve">Beton + wiremesh contoh</t>
  </si>
  <si>
    <t xml:space="preserve">P-10</t>
  </si>
  <si>
    <t xml:space="preserve">Dinding bata merah 1/2 batu</t>
  </si>
  <si>
    <t xml:space="preserve">Bata + spesi</t>
  </si>
  <si>
    <t xml:space="preserve">P-11</t>
  </si>
  <si>
    <t xml:space="preserve">Plesteran 1:4</t>
  </si>
  <si>
    <t xml:space="preserve">Dua sisi dihitung terpisah di RAB</t>
  </si>
  <si>
    <t xml:space="preserve">P-12</t>
  </si>
  <si>
    <t xml:space="preserve">Acian</t>
  </si>
  <si>
    <t xml:space="preserve">P-13</t>
  </si>
  <si>
    <t xml:space="preserve">Kusen, daun pintu, jendela kayu</t>
  </si>
  <si>
    <t xml:space="preserve">Harga satuan contoh</t>
  </si>
  <si>
    <t xml:space="preserve">P-14</t>
  </si>
  <si>
    <t xml:space="preserve">Atap baja ringan + genteng metal</t>
  </si>
  <si>
    <t xml:space="preserve">Termasuk reng contoh</t>
  </si>
  <si>
    <t xml:space="preserve">P-15</t>
  </si>
  <si>
    <t xml:space="preserve">Plafon gypsum rangka hollow</t>
  </si>
  <si>
    <t xml:space="preserve">Rangka + penutup</t>
  </si>
  <si>
    <t xml:space="preserve">P-16</t>
  </si>
  <si>
    <t xml:space="preserve">Lantai keramik 40x40</t>
  </si>
  <si>
    <t xml:space="preserve">P-17</t>
  </si>
  <si>
    <t xml:space="preserve">Cat dinding interior</t>
  </si>
  <si>
    <t xml:space="preserve">2 lapis contoh</t>
  </si>
  <si>
    <t xml:space="preserve">P-18</t>
  </si>
  <si>
    <t xml:space="preserve">Cat dinding eksterior</t>
  </si>
  <si>
    <t xml:space="preserve">P-19</t>
  </si>
  <si>
    <t xml:space="preserve">Instalasi listrik titik</t>
  </si>
  <si>
    <t xml:space="preserve">titik</t>
  </si>
  <si>
    <t xml:space="preserve">Titik lampu/stop kontak</t>
  </si>
  <si>
    <t xml:space="preserve">P-20</t>
  </si>
  <si>
    <t xml:space="preserve">Instalasi air bersih titik</t>
  </si>
  <si>
    <t xml:space="preserve">Titik kran contoh</t>
  </si>
  <si>
    <t xml:space="preserve">P-21</t>
  </si>
  <si>
    <t xml:space="preserve">Septictank sederhana</t>
  </si>
  <si>
    <t xml:space="preserve">unit</t>
  </si>
  <si>
    <t xml:space="preserve">1 unit contoh</t>
  </si>
  <si>
    <t xml:space="preserve">P-22</t>
  </si>
  <si>
    <t xml:space="preserve">Pekerjaan lain-lain / tidak terduga</t>
  </si>
  <si>
    <t xml:space="preserve">ls</t>
  </si>
  <si>
    <t xml:space="preserve">Diisi nominal di RAB, bukan di sini</t>
  </si>
  <si>
    <t xml:space="preserve">RENCANA ANGGARAN BIAYA — SAMPEL</t>
  </si>
  <si>
    <t xml:space="preserve">Sel kuning = input. Sel hitam = rumus. Jangan timpa rumus.</t>
  </si>
  <si>
    <t xml:space="preserve">No</t>
  </si>
  <si>
    <t xml:space="preserve">Uraian pekerjaan</t>
  </si>
  <si>
    <t xml:space="preserve">Volume</t>
  </si>
  <si>
    <t xml:space="preserve">Jumlah (Rp)</t>
  </si>
  <si>
    <t xml:space="preserve">Kode harga</t>
  </si>
  <si>
    <t xml:space="preserve">I.  PEKERJAAN PERSIAPAN</t>
  </si>
  <si>
    <t xml:space="preserve">1</t>
  </si>
  <si>
    <t xml:space="preserve">2</t>
  </si>
  <si>
    <t xml:space="preserve">Subtotal</t>
  </si>
  <si>
    <t xml:space="preserve">II.  PEKERJAAN PONDASI DAN STRUKTUR</t>
  </si>
  <si>
    <t xml:space="preserve">3</t>
  </si>
  <si>
    <t xml:space="preserve">4</t>
  </si>
  <si>
    <t xml:space="preserve">5</t>
  </si>
  <si>
    <t xml:space="preserve">6</t>
  </si>
  <si>
    <t xml:space="preserve">Sloof 15/20</t>
  </si>
  <si>
    <t xml:space="preserve">7</t>
  </si>
  <si>
    <t xml:space="preserve">8</t>
  </si>
  <si>
    <t xml:space="preserve">9</t>
  </si>
  <si>
    <t xml:space="preserve">III.  PEKERJAAN DINDING DAN KUSEN</t>
  </si>
  <si>
    <t xml:space="preserve">10</t>
  </si>
  <si>
    <t xml:space="preserve">11</t>
  </si>
  <si>
    <t xml:space="preserve">Plesteran dua sisi</t>
  </si>
  <si>
    <t xml:space="preserve">12</t>
  </si>
  <si>
    <t xml:space="preserve">Acian dua sisi</t>
  </si>
  <si>
    <t xml:space="preserve">13</t>
  </si>
  <si>
    <t xml:space="preserve">Kusen, pintu, dan jendela</t>
  </si>
  <si>
    <t xml:space="preserve">IV.  PEKERJAAN ATAP DAN PLAFON</t>
  </si>
  <si>
    <t xml:space="preserve">14</t>
  </si>
  <si>
    <t xml:space="preserve">15</t>
  </si>
  <si>
    <t xml:space="preserve">Plafon gypsum</t>
  </si>
  <si>
    <t xml:space="preserve">V.  PEKERJAAN FINISHING</t>
  </si>
  <si>
    <t xml:space="preserve">16</t>
  </si>
  <si>
    <t xml:space="preserve">17</t>
  </si>
  <si>
    <t xml:space="preserve">18</t>
  </si>
  <si>
    <t xml:space="preserve">VI.  PEKERJAAN MEP SEDERHANA</t>
  </si>
  <si>
    <t xml:space="preserve">19</t>
  </si>
  <si>
    <t xml:space="preserve">Instalasi listrik</t>
  </si>
  <si>
    <t xml:space="preserve">20</t>
  </si>
  <si>
    <t xml:space="preserve">Instalasi air bersih</t>
  </si>
  <si>
    <t xml:space="preserve">21</t>
  </si>
  <si>
    <t xml:space="preserve">SUBTOTAL PEKERJAAN</t>
  </si>
  <si>
    <t xml:space="preserve">GRAND TOTAL</t>
  </si>
  <si>
    <t xml:space="preserve">Catatan: volume dan harga contoh untuk rumah tipe 36. Bukan harga pasar Balikpapan dan bukan penawaran.</t>
  </si>
  <si>
    <t xml:space="preserve">REKAPITULASI BIAYA</t>
  </si>
  <si>
    <t xml:space="preserve">Kelompok pekerjaan</t>
  </si>
  <si>
    <t xml:space="preserve">Bobot</t>
  </si>
  <si>
    <t xml:space="preserve">I</t>
  </si>
  <si>
    <t xml:space="preserve">Pekerjaan persiapan</t>
  </si>
  <si>
    <t xml:space="preserve">II</t>
  </si>
  <si>
    <t xml:space="preserve">Pondasi dan struktur</t>
  </si>
  <si>
    <t xml:space="preserve">III</t>
  </si>
  <si>
    <t xml:space="preserve">Dinding dan kusen</t>
  </si>
  <si>
    <t xml:space="preserve">IV</t>
  </si>
  <si>
    <t xml:space="preserve">Atap dan plafon</t>
  </si>
  <si>
    <t xml:space="preserve">V</t>
  </si>
  <si>
    <t xml:space="preserve">Finishing</t>
  </si>
  <si>
    <t xml:space="preserve">VI</t>
  </si>
  <si>
    <t xml:space="preserve">MEP sederhana</t>
  </si>
  <si>
    <t xml:space="preserve">Cara baca</t>
  </si>
  <si>
    <t xml:space="preserve">Bobot = bagian tiap kelompok terhadap subtotal. Ubah volume di RAB, rekap ikut berubah.</t>
  </si>
  <si>
    <t xml:space="preserve">REKAP KEBUTUHAN MATERIAL — CONTOH</t>
  </si>
  <si>
    <t xml:space="preserve">Koefisien contoh. Bukan SNI resmi. Ganti sel kuning bila ada koefisien proyek.</t>
  </si>
  <si>
    <t xml:space="preserve">Volume induk</t>
  </si>
  <si>
    <t xml:space="preserve">Koefisien</t>
  </si>
  <si>
    <t xml:space="preserve">Kebutuhan</t>
  </si>
  <si>
    <t xml:space="preserve">Sumber volume</t>
  </si>
  <si>
    <t xml:space="preserve">Pasir urug</t>
  </si>
  <si>
    <t xml:space="preserve">Urugan pasir</t>
  </si>
  <si>
    <t xml:space="preserve">Batu kali</t>
  </si>
  <si>
    <t xml:space="preserve">Pondasi batu kali</t>
  </si>
  <si>
    <t xml:space="preserve">Semen portland</t>
  </si>
  <si>
    <t xml:space="preserve">zak</t>
  </si>
  <si>
    <t xml:space="preserve">Koefisien contoh pondasi</t>
  </si>
  <si>
    <t xml:space="preserve">Besi beton polos/ulir</t>
  </si>
  <si>
    <t xml:space="preserve">kg</t>
  </si>
  <si>
    <t xml:space="preserve">Koefisien contoh sloof</t>
  </si>
  <si>
    <t xml:space="preserve">Bata merah</t>
  </si>
  <si>
    <t xml:space="preserve">bh</t>
  </si>
  <si>
    <t xml:space="preserve">Dinding 1/2 batu, contoh</t>
  </si>
  <si>
    <t xml:space="preserve">Semen plester</t>
  </si>
  <si>
    <t xml:space="preserve">Plesteran, contoh</t>
  </si>
  <si>
    <t xml:space="preserve">Genteng metal</t>
  </si>
  <si>
    <t xml:space="preserve">Termasuk overlap contoh</t>
  </si>
  <si>
    <t xml:space="preserve">Rangka baja ringan</t>
  </si>
  <si>
    <t xml:space="preserve">Ikut luas atap</t>
  </si>
  <si>
    <t xml:space="preserve">Keramik 40x40</t>
  </si>
  <si>
    <t xml:space="preserve">Termasuk waste contoh</t>
  </si>
  <si>
    <t xml:space="preserve">Cat tembok</t>
  </si>
  <si>
    <t xml:space="preserve">Interior + eksterior</t>
  </si>
  <si>
    <t xml:space="preserve">Kebutuhan = volume induk x koefisien. Volume induk mengikuti sheet RAB.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</si>
</sst>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%"/>
    <numFmt numFmtId="166" formatCode="#,##0"/>
    <numFmt numFmtId="167" formatCode="#,##0.00"/>
  </numFmts>
  <fonts count="22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1F4E79"/>
      <name val="Calibri"/>
      <family val="0"/>
      <charset val="1"/>
    </font>
    <font>
      <sz val="12"/>
      <color rgb="FF2E75B6"/>
      <name val="Calibri"/>
      <family val="0"/>
      <charset val="1"/>
    </font>
    <font>
      <i val="true"/>
      <sz val="10"/>
      <color rgb="FFC65911"/>
      <name val="Calibri"/>
      <family val="0"/>
      <charset val="1"/>
    </font>
    <font>
      <b val="true"/>
      <sz val="10"/>
      <color rgb="FF1F4E79"/>
      <name val="Calibri"/>
      <family val="0"/>
      <charset val="1"/>
    </font>
    <font>
      <sz val="10"/>
      <color rgb="FF0000FF"/>
      <name val="Calibri"/>
      <family val="0"/>
      <charset val="1"/>
    </font>
    <font>
      <b val="true"/>
      <sz val="12"/>
      <color rgb="FF1F4E79"/>
      <name val="Calibri"/>
      <family val="0"/>
      <charset val="1"/>
    </font>
    <font>
      <sz val="10"/>
      <name val="Calibri"/>
      <family val="0"/>
      <charset val="1"/>
    </font>
    <font>
      <i val="true"/>
      <sz val="9"/>
      <color rgb="FF666666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16"/>
      <color rgb="FFFFFFFF"/>
      <name val="Calibri"/>
      <family val="0"/>
      <charset val="1"/>
    </font>
    <font>
      <i val="true"/>
      <sz val="9"/>
      <color rgb="FF008000"/>
      <name val="Calibri"/>
      <family val="0"/>
      <charset val="1"/>
    </font>
    <font>
      <sz val="10"/>
      <color rgb="FF000000"/>
      <name val="Calibri"/>
      <family val="0"/>
      <charset val="1"/>
    </font>
    <font>
      <sz val="10"/>
      <color rgb="FF008000"/>
      <name val="Calibri"/>
      <family val="0"/>
      <charset val="1"/>
    </font>
    <font>
      <b val="true"/>
      <sz val="10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F2CC"/>
        <bgColor rgb="FFF2F2F2"/>
      </patternFill>
    </fill>
    <fill>
      <patternFill patternType="solid">
        <fgColor rgb="FF1F4E79"/>
        <bgColor rgb="FF003366"/>
      </patternFill>
    </fill>
    <fill>
      <patternFill patternType="solid">
        <fgColor rgb="FFD6E3F0"/>
        <bgColor rgb="FFD9D9D9"/>
      </patternFill>
    </fill>
    <fill>
      <patternFill patternType="solid">
        <fgColor rgb="FF2E75B6"/>
        <bgColor rgb="FF4F81BD"/>
      </patternFill>
    </fill>
    <fill>
      <patternFill patternType="solid">
        <fgColor rgb="FFF2F2F2"/>
        <bgColor rgb="FFF9F9F9"/>
      </patternFill>
    </fill>
    <fill>
      <patternFill patternType="solid">
        <fgColor rgb="FFC65911"/>
        <bgColor rgb="FFED7D31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0B0B0"/>
      </left>
      <right/>
      <top style="thin">
        <color rgb="FFB0B0B0"/>
      </top>
      <bottom style="thin">
        <color rgb="FFB0B0B0"/>
      </bottom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8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8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7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2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5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8" fillId="7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7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5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6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6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6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5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2E75B6"/>
        </patternFill>
      </fill>
    </dxf>
    <dxf>
      <fill>
        <patternFill patternType="solid">
          <fgColor rgb="FFF2F2F2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000000"/>
          <bgColor rgb="FFFFFFFF"/>
        </patternFill>
      </fill>
    </dxf>
    <dxf>
      <fill>
        <patternFill patternType="solid">
          <fgColor rgb="FFFFFFFF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0000FF"/>
        </patternFill>
      </fill>
    </dxf>
    <dxf>
      <fill>
        <patternFill patternType="solid">
          <fgColor rgb="FF66666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0B0B0"/>
      <rgbColor rgb="FF878787"/>
      <rgbColor rgb="FF9999FF"/>
      <rgbColor rgb="FF993366"/>
      <rgbColor rgb="FFFFF2CC"/>
      <rgbColor rgb="FFD6E3F0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F9F9F9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ED7D31"/>
      <rgbColor rgb="FF666666"/>
      <rgbColor rgb="FF969696"/>
      <rgbColor rgb="FF003366"/>
      <rgbColor rgb="FF4F81BD"/>
      <rgbColor rgb="FF003300"/>
      <rgbColor rgb="FF333300"/>
      <rgbColor rgb="FFC65911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Bobot biaya per kelompok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Rekap!C4</c:f>
              <c:strCache>
                <c:ptCount val="1"/>
                <c:pt idx="0">
                  <c:v>Jumlah (Rp)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Rekap!$B$5:$B$10</c:f>
              <c:strCache>
                <c:ptCount val="6"/>
                <c:pt idx="0">
                  <c:v>Pekerjaan persiapan</c:v>
                </c:pt>
                <c:pt idx="1">
                  <c:v>Pondasi dan struktur</c:v>
                </c:pt>
                <c:pt idx="2">
                  <c:v>Dinding dan kusen</c:v>
                </c:pt>
                <c:pt idx="3">
                  <c:v>Atap dan plafon</c:v>
                </c:pt>
                <c:pt idx="4">
                  <c:v>Finishing</c:v>
                </c:pt>
                <c:pt idx="5">
                  <c:v>MEP sederhana</c:v>
                </c:pt>
              </c:strCache>
            </c:strRef>
          </c:cat>
          <c:val>
            <c:numRef>
              <c:f>Rekap!$C$5:$C$10</c:f>
              <c:numCache>
                <c:formatCode>General</c:formatCode>
                <c:ptCount val="6"/>
                <c:pt idx="0">
                  <c:v>1700000</c:v>
                </c:pt>
                <c:pt idx="1">
                  <c:v>29352000</c:v>
                </c:pt>
                <c:pt idx="2">
                  <c:v>46285000</c:v>
                </c:pt>
                <c:pt idx="3">
                  <c:v>20760000</c:v>
                </c:pt>
                <c:pt idx="4">
                  <c:v>15320000</c:v>
                </c:pt>
                <c:pt idx="5">
                  <c:v>8330000</c:v>
                </c:pt>
              </c:numCache>
            </c:numRef>
          </c:val>
        </c:ser>
        <c:gapWidth val="150"/>
        <c:overlap val="0"/>
        <c:axId val="83617223"/>
        <c:axId val="6310375"/>
      </c:barChart>
      <c:catAx>
        <c:axId val="836172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310375"/>
        <c:crosses val="autoZero"/>
        <c:auto val="1"/>
        <c:lblAlgn val="ctr"/>
        <c:lblOffset val="100"/>
        <c:noMultiLvlLbl val="0"/>
      </c:catAx>
      <c:valAx>
        <c:axId val="631037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Rp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361722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18</xdr:row>
      <xdr:rowOff>0</xdr:rowOff>
    </xdr:from>
    <xdr:to>
      <xdr:col>4</xdr:col>
      <xdr:colOff>42840</xdr:colOff>
      <xdr:row>31</xdr:row>
      <xdr:rowOff>42840</xdr:rowOff>
    </xdr:to>
    <xdr:graphicFrame>
      <xdr:nvGraphicFramePr>
        <xdr:cNvPr id="0" name="Chart 1"/>
        <xdr:cNvGraphicFramePr/>
      </xdr:nvGraphicFramePr>
      <xdr:xfrm>
        <a:off x="0" y="3562200"/>
        <a:ext cx="539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9"/>
    <pageSetUpPr fitToPage="true"/>
  </sheetPr>
  <dimension ref="B2:F2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2"/>
    <col collapsed="false" customWidth="true" hidden="false" outlineLevel="0" max="3" min="3" style="0" width="28"/>
    <col collapsed="false" customWidth="true" hidden="false" outlineLevel="0" max="4" min="4" style="0" width="22"/>
    <col collapsed="false" customWidth="true" hidden="false" outlineLevel="0" max="6" min="5" style="0" width="18"/>
  </cols>
  <sheetData>
    <row r="2" customFormat="false" ht="27.75" hidden="false" customHeight="true" outlineLevel="0" collapsed="false">
      <c r="B2" s="1" t="s">
        <v>0</v>
      </c>
      <c r="C2" s="1"/>
      <c r="D2" s="1"/>
      <c r="E2" s="1"/>
      <c r="F2" s="1"/>
    </row>
    <row r="3" customFormat="false" ht="15" hidden="false" customHeight="false" outlineLevel="0" collapsed="false">
      <c r="B3" s="2" t="s">
        <v>1</v>
      </c>
      <c r="C3" s="2"/>
      <c r="D3" s="2"/>
      <c r="E3" s="2"/>
      <c r="F3" s="2"/>
    </row>
    <row r="4" customFormat="false" ht="15" hidden="false" customHeight="false" outlineLevel="0" collapsed="false">
      <c r="B4" s="3" t="s">
        <v>2</v>
      </c>
      <c r="C4" s="3"/>
      <c r="D4" s="3"/>
      <c r="E4" s="3"/>
      <c r="F4" s="3"/>
    </row>
    <row r="6" customFormat="false" ht="15" hidden="false" customHeight="true" outlineLevel="0" collapsed="false">
      <c r="B6" s="4" t="s">
        <v>3</v>
      </c>
      <c r="C6" s="5" t="s">
        <v>4</v>
      </c>
      <c r="D6" s="5"/>
      <c r="E6" s="5"/>
      <c r="F6" s="5"/>
    </row>
    <row r="7" customFormat="false" ht="15" hidden="false" customHeight="true" outlineLevel="0" collapsed="false">
      <c r="B7" s="4" t="s">
        <v>5</v>
      </c>
      <c r="C7" s="5" t="s">
        <v>6</v>
      </c>
      <c r="D7" s="5"/>
      <c r="E7" s="5"/>
      <c r="F7" s="5"/>
    </row>
    <row r="8" customFormat="false" ht="15" hidden="false" customHeight="true" outlineLevel="0" collapsed="false">
      <c r="B8" s="4" t="s">
        <v>7</v>
      </c>
      <c r="C8" s="5" t="s">
        <v>8</v>
      </c>
      <c r="D8" s="5"/>
      <c r="E8" s="5"/>
      <c r="F8" s="5"/>
    </row>
    <row r="9" customFormat="false" ht="15" hidden="false" customHeight="true" outlineLevel="0" collapsed="false">
      <c r="B9" s="4" t="s">
        <v>9</v>
      </c>
      <c r="C9" s="5" t="s">
        <v>10</v>
      </c>
      <c r="D9" s="5"/>
      <c r="E9" s="5"/>
      <c r="F9" s="5"/>
    </row>
    <row r="10" customFormat="false" ht="15" hidden="false" customHeight="true" outlineLevel="0" collapsed="false">
      <c r="B10" s="4" t="s">
        <v>11</v>
      </c>
      <c r="C10" s="5" t="s">
        <v>12</v>
      </c>
      <c r="D10" s="5"/>
      <c r="E10" s="5"/>
      <c r="F10" s="5"/>
    </row>
    <row r="11" customFormat="false" ht="15" hidden="false" customHeight="true" outlineLevel="0" collapsed="false">
      <c r="B11" s="4" t="s">
        <v>13</v>
      </c>
      <c r="C11" s="5" t="s">
        <v>14</v>
      </c>
      <c r="D11" s="5"/>
      <c r="E11" s="5"/>
      <c r="F11" s="5"/>
    </row>
    <row r="13" customFormat="false" ht="15" hidden="false" customHeight="false" outlineLevel="0" collapsed="false">
      <c r="B13" s="6" t="s">
        <v>15</v>
      </c>
    </row>
    <row r="14" customFormat="false" ht="15" hidden="false" customHeight="false" outlineLevel="0" collapsed="false">
      <c r="B14" s="7" t="s">
        <v>16</v>
      </c>
      <c r="C14" s="7"/>
      <c r="D14" s="7"/>
      <c r="E14" s="7"/>
      <c r="F14" s="7"/>
    </row>
    <row r="15" customFormat="false" ht="15" hidden="false" customHeight="false" outlineLevel="0" collapsed="false">
      <c r="B15" s="7" t="s">
        <v>17</v>
      </c>
      <c r="C15" s="7"/>
      <c r="D15" s="7"/>
      <c r="E15" s="7"/>
      <c r="F15" s="7"/>
    </row>
    <row r="16" customFormat="false" ht="15" hidden="false" customHeight="false" outlineLevel="0" collapsed="false">
      <c r="B16" s="7" t="s">
        <v>18</v>
      </c>
      <c r="C16" s="7"/>
      <c r="D16" s="7"/>
      <c r="E16" s="7"/>
      <c r="F16" s="7"/>
    </row>
    <row r="17" customFormat="false" ht="15" hidden="false" customHeight="false" outlineLevel="0" collapsed="false">
      <c r="B17" s="7" t="s">
        <v>19</v>
      </c>
      <c r="C17" s="7"/>
      <c r="D17" s="7"/>
      <c r="E17" s="7"/>
      <c r="F17" s="7"/>
    </row>
    <row r="18" customFormat="false" ht="15" hidden="false" customHeight="false" outlineLevel="0" collapsed="false">
      <c r="B18" s="7" t="s">
        <v>20</v>
      </c>
      <c r="C18" s="7"/>
      <c r="D18" s="7"/>
      <c r="E18" s="7"/>
      <c r="F18" s="7"/>
    </row>
    <row r="20" customFormat="false" ht="15" hidden="false" customHeight="false" outlineLevel="0" collapsed="false">
      <c r="B20" s="8" t="s">
        <v>21</v>
      </c>
      <c r="C20" s="9" t="n">
        <v>0.11</v>
      </c>
      <c r="D20" s="10" t="s">
        <v>22</v>
      </c>
    </row>
    <row r="22" customFormat="false" ht="15" hidden="false" customHeight="false" outlineLevel="0" collapsed="false">
      <c r="B22" s="6" t="s">
        <v>23</v>
      </c>
    </row>
    <row r="23" customFormat="false" ht="15" hidden="false" customHeight="false" outlineLevel="0" collapsed="false">
      <c r="B23" s="11" t="s">
        <v>24</v>
      </c>
      <c r="C23" s="11" t="s">
        <v>25</v>
      </c>
    </row>
    <row r="24" customFormat="false" ht="15" hidden="false" customHeight="false" outlineLevel="0" collapsed="false">
      <c r="B24" s="12" t="s">
        <v>26</v>
      </c>
      <c r="C24" s="13" t="s">
        <v>27</v>
      </c>
      <c r="D24" s="13"/>
      <c r="E24" s="13"/>
      <c r="F24" s="13"/>
    </row>
    <row r="25" customFormat="false" ht="15" hidden="false" customHeight="false" outlineLevel="0" collapsed="false">
      <c r="B25" s="12" t="s">
        <v>28</v>
      </c>
      <c r="C25" s="13" t="s">
        <v>29</v>
      </c>
      <c r="D25" s="13"/>
      <c r="E25" s="13"/>
      <c r="F25" s="13"/>
    </row>
    <row r="26" customFormat="false" ht="15" hidden="false" customHeight="false" outlineLevel="0" collapsed="false">
      <c r="B26" s="12" t="s">
        <v>30</v>
      </c>
      <c r="C26" s="13" t="s">
        <v>31</v>
      </c>
      <c r="D26" s="13"/>
      <c r="E26" s="13"/>
      <c r="F26" s="13"/>
    </row>
    <row r="27" customFormat="false" ht="15" hidden="false" customHeight="false" outlineLevel="0" collapsed="false">
      <c r="B27" s="12" t="s">
        <v>32</v>
      </c>
      <c r="C27" s="13" t="s">
        <v>33</v>
      </c>
      <c r="D27" s="13"/>
      <c r="E27" s="13"/>
      <c r="F27" s="13"/>
    </row>
    <row r="28" customFormat="false" ht="15" hidden="false" customHeight="false" outlineLevel="0" collapsed="false">
      <c r="B28" s="12" t="s">
        <v>34</v>
      </c>
      <c r="C28" s="13" t="s">
        <v>35</v>
      </c>
      <c r="D28" s="13"/>
      <c r="E28" s="13"/>
      <c r="F28" s="13"/>
    </row>
  </sheetData>
  <mergeCells count="19">
    <mergeCell ref="B2:F2"/>
    <mergeCell ref="B3:F3"/>
    <mergeCell ref="B4:F4"/>
    <mergeCell ref="C6:F6"/>
    <mergeCell ref="C7:F7"/>
    <mergeCell ref="C8:F8"/>
    <mergeCell ref="C9:F9"/>
    <mergeCell ref="C10:F10"/>
    <mergeCell ref="C11:F11"/>
    <mergeCell ref="B14:F14"/>
    <mergeCell ref="B15:F15"/>
    <mergeCell ref="B16:F16"/>
    <mergeCell ref="B17:F17"/>
    <mergeCell ref="B18:F18"/>
    <mergeCell ref="C24:F24"/>
    <mergeCell ref="C25:F25"/>
    <mergeCell ref="C26:F26"/>
    <mergeCell ref="C27:F27"/>
    <mergeCell ref="C28:F28"/>
  </mergeCells>
  <printOptions headings="false" gridLines="false" gridLinesSet="true" horizontalCentered="false" verticalCentered="false"/>
  <pageMargins left="0.75" right="0.75" top="1" bottom="1" header="0.5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&amp;LSampel jasa — bukan penawaran resmi</oddHeader>
    <oddFooter>&amp;CAngka fiktif  |  Halaman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65911"/>
    <pageSetUpPr fitToPage="true"/>
  </sheetPr>
  <dimension ref="A1:E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42"/>
    <col collapsed="false" customWidth="true" hidden="false" outlineLevel="0" max="3" min="3" style="0" width="14"/>
    <col collapsed="false" customWidth="true" hidden="false" outlineLevel="0" max="4" min="4" style="0" width="22"/>
    <col collapsed="false" customWidth="true" hidden="false" outlineLevel="0" max="5" min="5" style="0" width="42"/>
  </cols>
  <sheetData>
    <row r="1" customFormat="false" ht="25.5" hidden="false" customHeight="true" outlineLevel="0" collapsed="false">
      <c r="A1" s="14" t="s">
        <v>36</v>
      </c>
      <c r="B1" s="14"/>
      <c r="C1" s="14"/>
      <c r="D1" s="14"/>
      <c r="E1" s="14"/>
    </row>
    <row r="2" customFormat="false" ht="15" hidden="false" customHeight="false" outlineLevel="0" collapsed="false">
      <c r="A2" s="15" t="str">
        <f aca="false">Info!C6&amp;"  |  "&amp;Info!C7&amp;"  |  harga contoh, bukan harga pasar resmi"</f>
        <v>Rumah tinggal contoh — tipe 36 (FIKTIF)  |  Balikpapan  |  harga contoh, bukan harga pasar resmi</v>
      </c>
      <c r="B2" s="15"/>
      <c r="C2" s="15"/>
      <c r="D2" s="15"/>
      <c r="E2" s="15"/>
    </row>
    <row r="4" customFormat="false" ht="21.75" hidden="false" customHeight="true" outlineLevel="0" collapsed="false">
      <c r="A4" s="16" t="s">
        <v>37</v>
      </c>
      <c r="B4" s="16" t="s">
        <v>38</v>
      </c>
      <c r="C4" s="16" t="s">
        <v>39</v>
      </c>
      <c r="D4" s="16" t="s">
        <v>40</v>
      </c>
      <c r="E4" s="16" t="s">
        <v>41</v>
      </c>
    </row>
    <row r="5" customFormat="false" ht="15" hidden="false" customHeight="false" outlineLevel="0" collapsed="false">
      <c r="A5" s="17" t="s">
        <v>42</v>
      </c>
      <c r="B5" s="18" t="s">
        <v>43</v>
      </c>
      <c r="C5" s="17" t="s">
        <v>44</v>
      </c>
      <c r="D5" s="19" t="n">
        <v>15000</v>
      </c>
      <c r="E5" s="20" t="s">
        <v>45</v>
      </c>
    </row>
    <row r="6" customFormat="false" ht="15" hidden="false" customHeight="false" outlineLevel="0" collapsed="false">
      <c r="A6" s="21" t="s">
        <v>46</v>
      </c>
      <c r="B6" s="22" t="s">
        <v>47</v>
      </c>
      <c r="C6" s="21" t="s">
        <v>48</v>
      </c>
      <c r="D6" s="19" t="n">
        <v>35000</v>
      </c>
      <c r="E6" s="23" t="s">
        <v>49</v>
      </c>
    </row>
    <row r="7" customFormat="false" ht="15" hidden="false" customHeight="false" outlineLevel="0" collapsed="false">
      <c r="A7" s="17" t="s">
        <v>50</v>
      </c>
      <c r="B7" s="18" t="s">
        <v>51</v>
      </c>
      <c r="C7" s="17" t="s">
        <v>52</v>
      </c>
      <c r="D7" s="19" t="n">
        <v>85000</v>
      </c>
      <c r="E7" s="20" t="s">
        <v>45</v>
      </c>
    </row>
    <row r="8" customFormat="false" ht="15" hidden="false" customHeight="false" outlineLevel="0" collapsed="false">
      <c r="A8" s="21" t="s">
        <v>53</v>
      </c>
      <c r="B8" s="22" t="s">
        <v>54</v>
      </c>
      <c r="C8" s="21" t="s">
        <v>52</v>
      </c>
      <c r="D8" s="19" t="n">
        <v>280000</v>
      </c>
      <c r="E8" s="23" t="s">
        <v>55</v>
      </c>
    </row>
    <row r="9" customFormat="false" ht="15" hidden="false" customHeight="false" outlineLevel="0" collapsed="false">
      <c r="A9" s="17" t="s">
        <v>56</v>
      </c>
      <c r="B9" s="18" t="s">
        <v>57</v>
      </c>
      <c r="C9" s="17" t="s">
        <v>52</v>
      </c>
      <c r="D9" s="19" t="n">
        <v>1250000</v>
      </c>
      <c r="E9" s="20" t="s">
        <v>58</v>
      </c>
    </row>
    <row r="10" customFormat="false" ht="15" hidden="false" customHeight="false" outlineLevel="0" collapsed="false">
      <c r="A10" s="21" t="s">
        <v>59</v>
      </c>
      <c r="B10" s="22" t="s">
        <v>60</v>
      </c>
      <c r="C10" s="21" t="s">
        <v>52</v>
      </c>
      <c r="D10" s="19" t="n">
        <v>2850000</v>
      </c>
      <c r="E10" s="23" t="s">
        <v>61</v>
      </c>
    </row>
    <row r="11" customFormat="false" ht="15" hidden="false" customHeight="false" outlineLevel="0" collapsed="false">
      <c r="A11" s="17" t="s">
        <v>62</v>
      </c>
      <c r="B11" s="18" t="s">
        <v>63</v>
      </c>
      <c r="C11" s="17" t="s">
        <v>52</v>
      </c>
      <c r="D11" s="19" t="n">
        <v>3200000</v>
      </c>
      <c r="E11" s="20" t="s">
        <v>64</v>
      </c>
    </row>
    <row r="12" customFormat="false" ht="15" hidden="false" customHeight="false" outlineLevel="0" collapsed="false">
      <c r="A12" s="21" t="s">
        <v>65</v>
      </c>
      <c r="B12" s="22" t="s">
        <v>66</v>
      </c>
      <c r="C12" s="21" t="s">
        <v>52</v>
      </c>
      <c r="D12" s="19" t="n">
        <v>3100000</v>
      </c>
      <c r="E12" s="23" t="s">
        <v>67</v>
      </c>
    </row>
    <row r="13" customFormat="false" ht="15" hidden="false" customHeight="false" outlineLevel="0" collapsed="false">
      <c r="A13" s="17" t="s">
        <v>68</v>
      </c>
      <c r="B13" s="18" t="s">
        <v>69</v>
      </c>
      <c r="C13" s="17" t="s">
        <v>44</v>
      </c>
      <c r="D13" s="19" t="n">
        <v>285000</v>
      </c>
      <c r="E13" s="20" t="s">
        <v>70</v>
      </c>
    </row>
    <row r="14" customFormat="false" ht="15" hidden="false" customHeight="false" outlineLevel="0" collapsed="false">
      <c r="A14" s="21" t="s">
        <v>71</v>
      </c>
      <c r="B14" s="22" t="s">
        <v>72</v>
      </c>
      <c r="C14" s="21" t="s">
        <v>44</v>
      </c>
      <c r="D14" s="19" t="n">
        <v>185000</v>
      </c>
      <c r="E14" s="23" t="s">
        <v>73</v>
      </c>
    </row>
    <row r="15" customFormat="false" ht="15" hidden="false" customHeight="false" outlineLevel="0" collapsed="false">
      <c r="A15" s="17" t="s">
        <v>74</v>
      </c>
      <c r="B15" s="18" t="s">
        <v>75</v>
      </c>
      <c r="C15" s="17" t="s">
        <v>44</v>
      </c>
      <c r="D15" s="19" t="n">
        <v>75000</v>
      </c>
      <c r="E15" s="20" t="s">
        <v>76</v>
      </c>
    </row>
    <row r="16" customFormat="false" ht="15" hidden="false" customHeight="false" outlineLevel="0" collapsed="false">
      <c r="A16" s="21" t="s">
        <v>77</v>
      </c>
      <c r="B16" s="22" t="s">
        <v>78</v>
      </c>
      <c r="C16" s="21" t="s">
        <v>44</v>
      </c>
      <c r="D16" s="19" t="n">
        <v>35000</v>
      </c>
      <c r="E16" s="23" t="s">
        <v>76</v>
      </c>
    </row>
    <row r="17" customFormat="false" ht="15" hidden="false" customHeight="false" outlineLevel="0" collapsed="false">
      <c r="A17" s="17" t="s">
        <v>79</v>
      </c>
      <c r="B17" s="18" t="s">
        <v>80</v>
      </c>
      <c r="C17" s="17" t="s">
        <v>44</v>
      </c>
      <c r="D17" s="19" t="n">
        <v>950000</v>
      </c>
      <c r="E17" s="20" t="s">
        <v>81</v>
      </c>
    </row>
    <row r="18" customFormat="false" ht="15" hidden="false" customHeight="false" outlineLevel="0" collapsed="false">
      <c r="A18" s="21" t="s">
        <v>82</v>
      </c>
      <c r="B18" s="22" t="s">
        <v>83</v>
      </c>
      <c r="C18" s="21" t="s">
        <v>44</v>
      </c>
      <c r="D18" s="19" t="n">
        <v>285000</v>
      </c>
      <c r="E18" s="23" t="s">
        <v>84</v>
      </c>
    </row>
    <row r="19" customFormat="false" ht="15" hidden="false" customHeight="false" outlineLevel="0" collapsed="false">
      <c r="A19" s="17" t="s">
        <v>85</v>
      </c>
      <c r="B19" s="18" t="s">
        <v>86</v>
      </c>
      <c r="C19" s="17" t="s">
        <v>44</v>
      </c>
      <c r="D19" s="19" t="n">
        <v>165000</v>
      </c>
      <c r="E19" s="20" t="s">
        <v>87</v>
      </c>
    </row>
    <row r="20" customFormat="false" ht="15" hidden="false" customHeight="false" outlineLevel="0" collapsed="false">
      <c r="A20" s="21" t="s">
        <v>88</v>
      </c>
      <c r="B20" s="22" t="s">
        <v>89</v>
      </c>
      <c r="C20" s="21" t="s">
        <v>44</v>
      </c>
      <c r="D20" s="19" t="n">
        <v>175000</v>
      </c>
      <c r="E20" s="23" t="s">
        <v>55</v>
      </c>
    </row>
    <row r="21" customFormat="false" ht="15" hidden="false" customHeight="false" outlineLevel="0" collapsed="false">
      <c r="A21" s="17" t="s">
        <v>90</v>
      </c>
      <c r="B21" s="18" t="s">
        <v>91</v>
      </c>
      <c r="C21" s="17" t="s">
        <v>44</v>
      </c>
      <c r="D21" s="19" t="n">
        <v>45000</v>
      </c>
      <c r="E21" s="20" t="s">
        <v>92</v>
      </c>
    </row>
    <row r="22" customFormat="false" ht="15" hidden="false" customHeight="false" outlineLevel="0" collapsed="false">
      <c r="A22" s="21" t="s">
        <v>93</v>
      </c>
      <c r="B22" s="22" t="s">
        <v>94</v>
      </c>
      <c r="C22" s="21" t="s">
        <v>44</v>
      </c>
      <c r="D22" s="19" t="n">
        <v>55000</v>
      </c>
      <c r="E22" s="23" t="s">
        <v>92</v>
      </c>
    </row>
    <row r="23" customFormat="false" ht="15" hidden="false" customHeight="false" outlineLevel="0" collapsed="false">
      <c r="A23" s="17" t="s">
        <v>95</v>
      </c>
      <c r="B23" s="18" t="s">
        <v>96</v>
      </c>
      <c r="C23" s="17" t="s">
        <v>97</v>
      </c>
      <c r="D23" s="19" t="n">
        <v>185000</v>
      </c>
      <c r="E23" s="20" t="s">
        <v>98</v>
      </c>
    </row>
    <row r="24" customFormat="false" ht="15" hidden="false" customHeight="false" outlineLevel="0" collapsed="false">
      <c r="A24" s="21" t="s">
        <v>99</v>
      </c>
      <c r="B24" s="22" t="s">
        <v>100</v>
      </c>
      <c r="C24" s="21" t="s">
        <v>97</v>
      </c>
      <c r="D24" s="19" t="n">
        <v>250000</v>
      </c>
      <c r="E24" s="23" t="s">
        <v>101</v>
      </c>
    </row>
    <row r="25" customFormat="false" ht="15" hidden="false" customHeight="false" outlineLevel="0" collapsed="false">
      <c r="A25" s="17" t="s">
        <v>102</v>
      </c>
      <c r="B25" s="18" t="s">
        <v>103</v>
      </c>
      <c r="C25" s="17" t="s">
        <v>104</v>
      </c>
      <c r="D25" s="19" t="n">
        <v>3500000</v>
      </c>
      <c r="E25" s="20" t="s">
        <v>105</v>
      </c>
    </row>
    <row r="26" customFormat="false" ht="15" hidden="false" customHeight="false" outlineLevel="0" collapsed="false">
      <c r="A26" s="21" t="s">
        <v>106</v>
      </c>
      <c r="B26" s="22" t="s">
        <v>107</v>
      </c>
      <c r="C26" s="21" t="s">
        <v>108</v>
      </c>
      <c r="D26" s="19" t="n">
        <v>1</v>
      </c>
      <c r="E26" s="23" t="s">
        <v>109</v>
      </c>
    </row>
  </sheetData>
  <autoFilter ref="A4:E26"/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" footer="0.5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&amp;LHarga satuan contoh</oddHeader>
    <oddFooter>&amp;CHarga satuan fiktif  | 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true"/>
  </sheetPr>
  <dimension ref="A1:G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2"/>
    <col collapsed="false" customWidth="true" hidden="false" outlineLevel="0" max="4" min="3" style="0" width="12"/>
    <col collapsed="false" customWidth="true" hidden="false" outlineLevel="0" max="5" min="5" style="0" width="22"/>
    <col collapsed="false" customWidth="true" hidden="false" outlineLevel="0" max="6" min="6" style="0" width="20"/>
    <col collapsed="false" customWidth="true" hidden="false" outlineLevel="0" max="7" min="7" style="0" width="14"/>
  </cols>
  <sheetData>
    <row r="1" customFormat="false" ht="25.5" hidden="false" customHeight="true" outlineLevel="0" collapsed="false">
      <c r="A1" s="14" t="s">
        <v>110</v>
      </c>
      <c r="B1" s="14"/>
      <c r="C1" s="14"/>
      <c r="D1" s="14"/>
      <c r="E1" s="14"/>
      <c r="F1" s="14"/>
      <c r="G1" s="14"/>
    </row>
    <row r="2" customFormat="false" ht="15" hidden="false" customHeight="false" outlineLevel="0" collapsed="false">
      <c r="A2" s="24" t="str">
        <f aca="false">Info!C6&amp;"  |  "&amp;Info!C7&amp;"  |  penyusun: "&amp;Info!C9</f>
        <v>Rumah tinggal contoh — tipe 36 (FIKTIF)  |  Balikpapan  |  penyusun: Fajar Tri Suhartono</v>
      </c>
      <c r="B2" s="24"/>
      <c r="C2" s="24"/>
      <c r="D2" s="24"/>
      <c r="E2" s="24"/>
      <c r="F2" s="24"/>
      <c r="G2" s="24"/>
    </row>
    <row r="3" customFormat="false" ht="15" hidden="false" customHeight="false" outlineLevel="0" collapsed="false">
      <c r="A3" s="25" t="s">
        <v>111</v>
      </c>
      <c r="B3" s="25"/>
      <c r="C3" s="25"/>
      <c r="D3" s="25"/>
      <c r="E3" s="25"/>
      <c r="F3" s="25"/>
      <c r="G3" s="25"/>
    </row>
    <row r="5" customFormat="false" ht="21.75" hidden="false" customHeight="true" outlineLevel="0" collapsed="false">
      <c r="A5" s="16" t="s">
        <v>112</v>
      </c>
      <c r="B5" s="16" t="s">
        <v>113</v>
      </c>
      <c r="C5" s="16" t="s">
        <v>39</v>
      </c>
      <c r="D5" s="16" t="s">
        <v>114</v>
      </c>
      <c r="E5" s="16" t="s">
        <v>40</v>
      </c>
      <c r="F5" s="16" t="s">
        <v>115</v>
      </c>
      <c r="G5" s="16" t="s">
        <v>116</v>
      </c>
    </row>
    <row r="6" customFormat="false" ht="19.5" hidden="false" customHeight="true" outlineLevel="0" collapsed="false">
      <c r="A6" s="26" t="s">
        <v>117</v>
      </c>
      <c r="B6" s="26"/>
      <c r="C6" s="26"/>
      <c r="D6" s="26"/>
      <c r="E6" s="26"/>
      <c r="F6" s="26"/>
      <c r="G6" s="26"/>
    </row>
    <row r="7" customFormat="false" ht="15" hidden="false" customHeight="false" outlineLevel="0" collapsed="false">
      <c r="A7" s="17" t="s">
        <v>118</v>
      </c>
      <c r="B7" s="18" t="s">
        <v>43</v>
      </c>
      <c r="C7" s="17" t="s">
        <v>44</v>
      </c>
      <c r="D7" s="27" t="n">
        <v>48</v>
      </c>
      <c r="E7" s="28" t="n">
        <f aca="false">IFERROR(VLOOKUP(G7,'Harga Satuan'!$A$5:$D$26,4,FALSE()),0)</f>
        <v>15000</v>
      </c>
      <c r="F7" s="29" t="n">
        <f aca="false">D7*E7</f>
        <v>720000</v>
      </c>
      <c r="G7" s="30" t="s">
        <v>42</v>
      </c>
    </row>
    <row r="8" customFormat="false" ht="15" hidden="false" customHeight="false" outlineLevel="0" collapsed="false">
      <c r="A8" s="17" t="s">
        <v>119</v>
      </c>
      <c r="B8" s="18" t="s">
        <v>47</v>
      </c>
      <c r="C8" s="17" t="s">
        <v>48</v>
      </c>
      <c r="D8" s="27" t="n">
        <v>28</v>
      </c>
      <c r="E8" s="28" t="n">
        <f aca="false">IFERROR(VLOOKUP(G8,'Harga Satuan'!$A$5:$D$26,4,FALSE()),0)</f>
        <v>35000</v>
      </c>
      <c r="F8" s="29" t="n">
        <f aca="false">D8*E8</f>
        <v>980000</v>
      </c>
      <c r="G8" s="30" t="s">
        <v>46</v>
      </c>
    </row>
    <row r="9" customFormat="false" ht="15" hidden="false" customHeight="false" outlineLevel="0" collapsed="false">
      <c r="A9" s="31" t="s">
        <v>120</v>
      </c>
      <c r="B9" s="31"/>
      <c r="C9" s="31"/>
      <c r="D9" s="31"/>
      <c r="E9" s="31"/>
      <c r="F9" s="32" t="n">
        <f aca="false">SUM(F7:F8)</f>
        <v>1700000</v>
      </c>
      <c r="G9" s="33"/>
    </row>
    <row r="10" customFormat="false" ht="19.5" hidden="false" customHeight="true" outlineLevel="0" collapsed="false">
      <c r="A10" s="26" t="s">
        <v>121</v>
      </c>
      <c r="B10" s="26"/>
      <c r="C10" s="26"/>
      <c r="D10" s="26"/>
      <c r="E10" s="26"/>
      <c r="F10" s="26"/>
      <c r="G10" s="26"/>
    </row>
    <row r="11" customFormat="false" ht="15" hidden="false" customHeight="false" outlineLevel="0" collapsed="false">
      <c r="A11" s="17" t="s">
        <v>122</v>
      </c>
      <c r="B11" s="18" t="s">
        <v>51</v>
      </c>
      <c r="C11" s="17" t="s">
        <v>52</v>
      </c>
      <c r="D11" s="27" t="n">
        <v>8.4</v>
      </c>
      <c r="E11" s="28" t="n">
        <f aca="false">IFERROR(VLOOKUP(G11,'Harga Satuan'!$A$5:$D$26,4,FALSE()),0)</f>
        <v>85000</v>
      </c>
      <c r="F11" s="29" t="n">
        <f aca="false">D11*E11</f>
        <v>714000</v>
      </c>
      <c r="G11" s="30" t="s">
        <v>50</v>
      </c>
    </row>
    <row r="12" customFormat="false" ht="15" hidden="false" customHeight="false" outlineLevel="0" collapsed="false">
      <c r="A12" s="17" t="s">
        <v>123</v>
      </c>
      <c r="B12" s="18" t="s">
        <v>54</v>
      </c>
      <c r="C12" s="17" t="s">
        <v>52</v>
      </c>
      <c r="D12" s="27" t="n">
        <v>1.6</v>
      </c>
      <c r="E12" s="28" t="n">
        <f aca="false">IFERROR(VLOOKUP(G12,'Harga Satuan'!$A$5:$D$26,4,FALSE()),0)</f>
        <v>280000</v>
      </c>
      <c r="F12" s="29" t="n">
        <f aca="false">D12*E12</f>
        <v>448000</v>
      </c>
      <c r="G12" s="30" t="s">
        <v>53</v>
      </c>
    </row>
    <row r="13" customFormat="false" ht="15" hidden="false" customHeight="false" outlineLevel="0" collapsed="false">
      <c r="A13" s="17" t="s">
        <v>124</v>
      </c>
      <c r="B13" s="18" t="s">
        <v>57</v>
      </c>
      <c r="C13" s="17" t="s">
        <v>52</v>
      </c>
      <c r="D13" s="27" t="n">
        <v>6.2</v>
      </c>
      <c r="E13" s="28" t="n">
        <f aca="false">IFERROR(VLOOKUP(G13,'Harga Satuan'!$A$5:$D$26,4,FALSE()),0)</f>
        <v>1250000</v>
      </c>
      <c r="F13" s="29" t="n">
        <f aca="false">D13*E13</f>
        <v>7750000</v>
      </c>
      <c r="G13" s="30" t="s">
        <v>56</v>
      </c>
    </row>
    <row r="14" customFormat="false" ht="15" hidden="false" customHeight="false" outlineLevel="0" collapsed="false">
      <c r="A14" s="17" t="s">
        <v>125</v>
      </c>
      <c r="B14" s="18" t="s">
        <v>126</v>
      </c>
      <c r="C14" s="17" t="s">
        <v>52</v>
      </c>
      <c r="D14" s="27" t="n">
        <v>1.8</v>
      </c>
      <c r="E14" s="28" t="n">
        <f aca="false">IFERROR(VLOOKUP(G14,'Harga Satuan'!$A$5:$D$26,4,FALSE()),0)</f>
        <v>2850000</v>
      </c>
      <c r="F14" s="29" t="n">
        <f aca="false">D14*E14</f>
        <v>5130000</v>
      </c>
      <c r="G14" s="30" t="s">
        <v>59</v>
      </c>
    </row>
    <row r="15" customFormat="false" ht="15" hidden="false" customHeight="false" outlineLevel="0" collapsed="false">
      <c r="A15" s="17" t="s">
        <v>127</v>
      </c>
      <c r="B15" s="18" t="s">
        <v>63</v>
      </c>
      <c r="C15" s="17" t="s">
        <v>52</v>
      </c>
      <c r="D15" s="27" t="n">
        <v>0.9</v>
      </c>
      <c r="E15" s="28" t="n">
        <f aca="false">IFERROR(VLOOKUP(G15,'Harga Satuan'!$A$5:$D$26,4,FALSE()),0)</f>
        <v>3200000</v>
      </c>
      <c r="F15" s="29" t="n">
        <f aca="false">D15*E15</f>
        <v>2880000</v>
      </c>
      <c r="G15" s="30" t="s">
        <v>62</v>
      </c>
    </row>
    <row r="16" customFormat="false" ht="15" hidden="false" customHeight="false" outlineLevel="0" collapsed="false">
      <c r="A16" s="17" t="s">
        <v>128</v>
      </c>
      <c r="B16" s="18" t="s">
        <v>66</v>
      </c>
      <c r="C16" s="17" t="s">
        <v>52</v>
      </c>
      <c r="D16" s="27" t="n">
        <v>0.7</v>
      </c>
      <c r="E16" s="28" t="n">
        <f aca="false">IFERROR(VLOOKUP(G16,'Harga Satuan'!$A$5:$D$26,4,FALSE()),0)</f>
        <v>3100000</v>
      </c>
      <c r="F16" s="29" t="n">
        <f aca="false">D16*E16</f>
        <v>2170000</v>
      </c>
      <c r="G16" s="30" t="s">
        <v>65</v>
      </c>
    </row>
    <row r="17" customFormat="false" ht="15" hidden="false" customHeight="false" outlineLevel="0" collapsed="false">
      <c r="A17" s="17" t="s">
        <v>129</v>
      </c>
      <c r="B17" s="18" t="s">
        <v>69</v>
      </c>
      <c r="C17" s="17" t="s">
        <v>44</v>
      </c>
      <c r="D17" s="27" t="n">
        <v>36</v>
      </c>
      <c r="E17" s="28" t="n">
        <f aca="false">IFERROR(VLOOKUP(G17,'Harga Satuan'!$A$5:$D$26,4,FALSE()),0)</f>
        <v>285000</v>
      </c>
      <c r="F17" s="29" t="n">
        <f aca="false">D17*E17</f>
        <v>10260000</v>
      </c>
      <c r="G17" s="30" t="s">
        <v>68</v>
      </c>
    </row>
    <row r="18" customFormat="false" ht="15" hidden="false" customHeight="false" outlineLevel="0" collapsed="false">
      <c r="A18" s="31" t="s">
        <v>120</v>
      </c>
      <c r="B18" s="31"/>
      <c r="C18" s="31"/>
      <c r="D18" s="31"/>
      <c r="E18" s="31"/>
      <c r="F18" s="32" t="n">
        <f aca="false">SUM(F11:F17)</f>
        <v>29352000</v>
      </c>
      <c r="G18" s="33"/>
    </row>
    <row r="19" customFormat="false" ht="19.5" hidden="false" customHeight="true" outlineLevel="0" collapsed="false">
      <c r="A19" s="26" t="s">
        <v>130</v>
      </c>
      <c r="B19" s="26"/>
      <c r="C19" s="26"/>
      <c r="D19" s="26"/>
      <c r="E19" s="26"/>
      <c r="F19" s="26"/>
      <c r="G19" s="26"/>
    </row>
    <row r="20" customFormat="false" ht="15" hidden="false" customHeight="false" outlineLevel="0" collapsed="false">
      <c r="A20" s="17" t="s">
        <v>131</v>
      </c>
      <c r="B20" s="18" t="s">
        <v>72</v>
      </c>
      <c r="C20" s="17" t="s">
        <v>44</v>
      </c>
      <c r="D20" s="27" t="n">
        <v>92</v>
      </c>
      <c r="E20" s="28" t="n">
        <f aca="false">IFERROR(VLOOKUP(G20,'Harga Satuan'!$A$5:$D$26,4,FALSE()),0)</f>
        <v>185000</v>
      </c>
      <c r="F20" s="29" t="n">
        <f aca="false">D20*E20</f>
        <v>17020000</v>
      </c>
      <c r="G20" s="30" t="s">
        <v>71</v>
      </c>
    </row>
    <row r="21" customFormat="false" ht="15" hidden="false" customHeight="false" outlineLevel="0" collapsed="false">
      <c r="A21" s="17" t="s">
        <v>132</v>
      </c>
      <c r="B21" s="18" t="s">
        <v>133</v>
      </c>
      <c r="C21" s="17" t="s">
        <v>44</v>
      </c>
      <c r="D21" s="27" t="n">
        <v>184</v>
      </c>
      <c r="E21" s="28" t="n">
        <f aca="false">IFERROR(VLOOKUP(G21,'Harga Satuan'!$A$5:$D$26,4,FALSE()),0)</f>
        <v>75000</v>
      </c>
      <c r="F21" s="29" t="n">
        <f aca="false">D21*E21</f>
        <v>13800000</v>
      </c>
      <c r="G21" s="30" t="s">
        <v>74</v>
      </c>
    </row>
    <row r="22" customFormat="false" ht="15" hidden="false" customHeight="false" outlineLevel="0" collapsed="false">
      <c r="A22" s="17" t="s">
        <v>134</v>
      </c>
      <c r="B22" s="18" t="s">
        <v>135</v>
      </c>
      <c r="C22" s="17" t="s">
        <v>44</v>
      </c>
      <c r="D22" s="27" t="n">
        <v>184</v>
      </c>
      <c r="E22" s="28" t="n">
        <f aca="false">IFERROR(VLOOKUP(G22,'Harga Satuan'!$A$5:$D$26,4,FALSE()),0)</f>
        <v>35000</v>
      </c>
      <c r="F22" s="29" t="n">
        <f aca="false">D22*E22</f>
        <v>6440000</v>
      </c>
      <c r="G22" s="30" t="s">
        <v>77</v>
      </c>
    </row>
    <row r="23" customFormat="false" ht="15" hidden="false" customHeight="false" outlineLevel="0" collapsed="false">
      <c r="A23" s="17" t="s">
        <v>136</v>
      </c>
      <c r="B23" s="18" t="s">
        <v>137</v>
      </c>
      <c r="C23" s="17" t="s">
        <v>44</v>
      </c>
      <c r="D23" s="27" t="n">
        <v>9.5</v>
      </c>
      <c r="E23" s="28" t="n">
        <f aca="false">IFERROR(VLOOKUP(G23,'Harga Satuan'!$A$5:$D$26,4,FALSE()),0)</f>
        <v>950000</v>
      </c>
      <c r="F23" s="29" t="n">
        <f aca="false">D23*E23</f>
        <v>9025000</v>
      </c>
      <c r="G23" s="30" t="s">
        <v>79</v>
      </c>
    </row>
    <row r="24" customFormat="false" ht="15" hidden="false" customHeight="false" outlineLevel="0" collapsed="false">
      <c r="A24" s="31" t="s">
        <v>120</v>
      </c>
      <c r="B24" s="31"/>
      <c r="C24" s="31"/>
      <c r="D24" s="31"/>
      <c r="E24" s="31"/>
      <c r="F24" s="32" t="n">
        <f aca="false">SUM(F20:F23)</f>
        <v>46285000</v>
      </c>
      <c r="G24" s="33"/>
    </row>
    <row r="25" customFormat="false" ht="19.5" hidden="false" customHeight="true" outlineLevel="0" collapsed="false">
      <c r="A25" s="26" t="s">
        <v>138</v>
      </c>
      <c r="B25" s="26"/>
      <c r="C25" s="26"/>
      <c r="D25" s="26"/>
      <c r="E25" s="26"/>
      <c r="F25" s="26"/>
      <c r="G25" s="26"/>
    </row>
    <row r="26" customFormat="false" ht="15" hidden="false" customHeight="false" outlineLevel="0" collapsed="false">
      <c r="A26" s="17" t="s">
        <v>139</v>
      </c>
      <c r="B26" s="18" t="s">
        <v>83</v>
      </c>
      <c r="C26" s="17" t="s">
        <v>44</v>
      </c>
      <c r="D26" s="27" t="n">
        <v>52</v>
      </c>
      <c r="E26" s="28" t="n">
        <f aca="false">IFERROR(VLOOKUP(G26,'Harga Satuan'!$A$5:$D$26,4,FALSE()),0)</f>
        <v>285000</v>
      </c>
      <c r="F26" s="29" t="n">
        <f aca="false">D26*E26</f>
        <v>14820000</v>
      </c>
      <c r="G26" s="30" t="s">
        <v>82</v>
      </c>
    </row>
    <row r="27" customFormat="false" ht="15" hidden="false" customHeight="false" outlineLevel="0" collapsed="false">
      <c r="A27" s="17" t="s">
        <v>140</v>
      </c>
      <c r="B27" s="18" t="s">
        <v>141</v>
      </c>
      <c r="C27" s="17" t="s">
        <v>44</v>
      </c>
      <c r="D27" s="27" t="n">
        <v>36</v>
      </c>
      <c r="E27" s="28" t="n">
        <f aca="false">IFERROR(VLOOKUP(G27,'Harga Satuan'!$A$5:$D$26,4,FALSE()),0)</f>
        <v>165000</v>
      </c>
      <c r="F27" s="29" t="n">
        <f aca="false">D27*E27</f>
        <v>5940000</v>
      </c>
      <c r="G27" s="30" t="s">
        <v>85</v>
      </c>
    </row>
    <row r="28" customFormat="false" ht="15" hidden="false" customHeight="false" outlineLevel="0" collapsed="false">
      <c r="A28" s="31" t="s">
        <v>120</v>
      </c>
      <c r="B28" s="31"/>
      <c r="C28" s="31"/>
      <c r="D28" s="31"/>
      <c r="E28" s="31"/>
      <c r="F28" s="32" t="n">
        <f aca="false">SUM(F26:F27)</f>
        <v>20760000</v>
      </c>
      <c r="G28" s="33"/>
    </row>
    <row r="29" customFormat="false" ht="19.5" hidden="false" customHeight="true" outlineLevel="0" collapsed="false">
      <c r="A29" s="26" t="s">
        <v>142</v>
      </c>
      <c r="B29" s="26"/>
      <c r="C29" s="26"/>
      <c r="D29" s="26"/>
      <c r="E29" s="26"/>
      <c r="F29" s="26"/>
      <c r="G29" s="26"/>
    </row>
    <row r="30" customFormat="false" ht="15" hidden="false" customHeight="false" outlineLevel="0" collapsed="false">
      <c r="A30" s="17" t="s">
        <v>143</v>
      </c>
      <c r="B30" s="18" t="s">
        <v>89</v>
      </c>
      <c r="C30" s="17" t="s">
        <v>44</v>
      </c>
      <c r="D30" s="27" t="n">
        <v>36</v>
      </c>
      <c r="E30" s="28" t="n">
        <f aca="false">IFERROR(VLOOKUP(G30,'Harga Satuan'!$A$5:$D$26,4,FALSE()),0)</f>
        <v>175000</v>
      </c>
      <c r="F30" s="29" t="n">
        <f aca="false">D30*E30</f>
        <v>6300000</v>
      </c>
      <c r="G30" s="30" t="s">
        <v>88</v>
      </c>
    </row>
    <row r="31" customFormat="false" ht="15" hidden="false" customHeight="false" outlineLevel="0" collapsed="false">
      <c r="A31" s="17" t="s">
        <v>144</v>
      </c>
      <c r="B31" s="18" t="s">
        <v>91</v>
      </c>
      <c r="C31" s="17" t="s">
        <v>44</v>
      </c>
      <c r="D31" s="27" t="n">
        <v>110</v>
      </c>
      <c r="E31" s="28" t="n">
        <f aca="false">IFERROR(VLOOKUP(G31,'Harga Satuan'!$A$5:$D$26,4,FALSE()),0)</f>
        <v>45000</v>
      </c>
      <c r="F31" s="29" t="n">
        <f aca="false">D31*E31</f>
        <v>4950000</v>
      </c>
      <c r="G31" s="30" t="s">
        <v>90</v>
      </c>
    </row>
    <row r="32" customFormat="false" ht="15" hidden="false" customHeight="false" outlineLevel="0" collapsed="false">
      <c r="A32" s="17" t="s">
        <v>145</v>
      </c>
      <c r="B32" s="18" t="s">
        <v>94</v>
      </c>
      <c r="C32" s="17" t="s">
        <v>44</v>
      </c>
      <c r="D32" s="27" t="n">
        <v>74</v>
      </c>
      <c r="E32" s="28" t="n">
        <f aca="false">IFERROR(VLOOKUP(G32,'Harga Satuan'!$A$5:$D$26,4,FALSE()),0)</f>
        <v>55000</v>
      </c>
      <c r="F32" s="29" t="n">
        <f aca="false">D32*E32</f>
        <v>4070000</v>
      </c>
      <c r="G32" s="30" t="s">
        <v>93</v>
      </c>
    </row>
    <row r="33" customFormat="false" ht="15" hidden="false" customHeight="false" outlineLevel="0" collapsed="false">
      <c r="A33" s="31" t="s">
        <v>120</v>
      </c>
      <c r="B33" s="31"/>
      <c r="C33" s="31"/>
      <c r="D33" s="31"/>
      <c r="E33" s="31"/>
      <c r="F33" s="32" t="n">
        <f aca="false">SUM(F30:F32)</f>
        <v>15320000</v>
      </c>
      <c r="G33" s="33"/>
    </row>
    <row r="34" customFormat="false" ht="19.5" hidden="false" customHeight="true" outlineLevel="0" collapsed="false">
      <c r="A34" s="26" t="s">
        <v>146</v>
      </c>
      <c r="B34" s="26"/>
      <c r="C34" s="26"/>
      <c r="D34" s="26"/>
      <c r="E34" s="26"/>
      <c r="F34" s="26"/>
      <c r="G34" s="26"/>
    </row>
    <row r="35" customFormat="false" ht="15" hidden="false" customHeight="false" outlineLevel="0" collapsed="false">
      <c r="A35" s="17" t="s">
        <v>147</v>
      </c>
      <c r="B35" s="18" t="s">
        <v>148</v>
      </c>
      <c r="C35" s="17" t="s">
        <v>97</v>
      </c>
      <c r="D35" s="27" t="n">
        <v>18</v>
      </c>
      <c r="E35" s="28" t="n">
        <f aca="false">IFERROR(VLOOKUP(G35,'Harga Satuan'!$A$5:$D$26,4,FALSE()),0)</f>
        <v>185000</v>
      </c>
      <c r="F35" s="29" t="n">
        <f aca="false">D35*E35</f>
        <v>3330000</v>
      </c>
      <c r="G35" s="30" t="s">
        <v>95</v>
      </c>
    </row>
    <row r="36" customFormat="false" ht="15" hidden="false" customHeight="false" outlineLevel="0" collapsed="false">
      <c r="A36" s="17" t="s">
        <v>149</v>
      </c>
      <c r="B36" s="18" t="s">
        <v>150</v>
      </c>
      <c r="C36" s="17" t="s">
        <v>97</v>
      </c>
      <c r="D36" s="27" t="n">
        <v>6</v>
      </c>
      <c r="E36" s="28" t="n">
        <f aca="false">IFERROR(VLOOKUP(G36,'Harga Satuan'!$A$5:$D$26,4,FALSE()),0)</f>
        <v>250000</v>
      </c>
      <c r="F36" s="29" t="n">
        <f aca="false">D36*E36</f>
        <v>1500000</v>
      </c>
      <c r="G36" s="30" t="s">
        <v>99</v>
      </c>
    </row>
    <row r="37" customFormat="false" ht="15" hidden="false" customHeight="false" outlineLevel="0" collapsed="false">
      <c r="A37" s="17" t="s">
        <v>151</v>
      </c>
      <c r="B37" s="18" t="s">
        <v>103</v>
      </c>
      <c r="C37" s="17" t="s">
        <v>104</v>
      </c>
      <c r="D37" s="27" t="n">
        <v>1</v>
      </c>
      <c r="E37" s="28" t="n">
        <f aca="false">IFERROR(VLOOKUP(G37,'Harga Satuan'!$A$5:$D$26,4,FALSE()),0)</f>
        <v>3500000</v>
      </c>
      <c r="F37" s="29" t="n">
        <f aca="false">D37*E37</f>
        <v>3500000</v>
      </c>
      <c r="G37" s="30" t="s">
        <v>102</v>
      </c>
    </row>
    <row r="38" customFormat="false" ht="15" hidden="false" customHeight="false" outlineLevel="0" collapsed="false">
      <c r="A38" s="31" t="s">
        <v>120</v>
      </c>
      <c r="B38" s="31"/>
      <c r="C38" s="31"/>
      <c r="D38" s="31"/>
      <c r="E38" s="31"/>
      <c r="F38" s="32" t="n">
        <f aca="false">SUM(F35:F37)</f>
        <v>8330000</v>
      </c>
      <c r="G38" s="33"/>
    </row>
    <row r="40" customFormat="false" ht="15" hidden="false" customHeight="false" outlineLevel="0" collapsed="false">
      <c r="A40" s="34" t="s">
        <v>152</v>
      </c>
      <c r="B40" s="34"/>
      <c r="C40" s="34"/>
      <c r="D40" s="34"/>
      <c r="E40" s="34"/>
      <c r="F40" s="35" t="n">
        <f aca="false">F9+F18+F24+F28+F33+F38</f>
        <v>121747000</v>
      </c>
      <c r="G40" s="36"/>
    </row>
    <row r="41" customFormat="false" ht="15" hidden="false" customHeight="false" outlineLevel="0" collapsed="false">
      <c r="A41" s="37" t="str">
        <f aca="false">"PPN "&amp;TEXT(Info!C20,"0%")</f>
        <v>PPN 11%</v>
      </c>
      <c r="B41" s="37"/>
      <c r="C41" s="37"/>
      <c r="D41" s="37"/>
      <c r="E41" s="37"/>
      <c r="F41" s="38" t="n">
        <f aca="false">F40*Info!C20</f>
        <v>13392170</v>
      </c>
      <c r="G41" s="39"/>
    </row>
    <row r="42" customFormat="false" ht="21.75" hidden="false" customHeight="true" outlineLevel="0" collapsed="false">
      <c r="A42" s="40" t="s">
        <v>153</v>
      </c>
      <c r="B42" s="40"/>
      <c r="C42" s="40"/>
      <c r="D42" s="40"/>
      <c r="E42" s="40"/>
      <c r="F42" s="41" t="n">
        <f aca="false">F40+F41</f>
        <v>135139170</v>
      </c>
      <c r="G42" s="42"/>
    </row>
    <row r="44" customFormat="false" ht="15" hidden="false" customHeight="false" outlineLevel="0" collapsed="false">
      <c r="A44" s="25" t="s">
        <v>154</v>
      </c>
      <c r="B44" s="25"/>
      <c r="C44" s="25"/>
      <c r="D44" s="25"/>
      <c r="E44" s="25"/>
      <c r="F44" s="25"/>
      <c r="G44" s="25"/>
    </row>
  </sheetData>
  <mergeCells count="19">
    <mergeCell ref="A1:G1"/>
    <mergeCell ref="A2:G2"/>
    <mergeCell ref="A3:G3"/>
    <mergeCell ref="A6:G6"/>
    <mergeCell ref="A9:E9"/>
    <mergeCell ref="A10:G10"/>
    <mergeCell ref="A18:E18"/>
    <mergeCell ref="A19:G19"/>
    <mergeCell ref="A24:E24"/>
    <mergeCell ref="A25:G25"/>
    <mergeCell ref="A28:E28"/>
    <mergeCell ref="A29:G29"/>
    <mergeCell ref="A33:E33"/>
    <mergeCell ref="A34:G34"/>
    <mergeCell ref="A38:E38"/>
    <mergeCell ref="A40:E40"/>
    <mergeCell ref="A41:E41"/>
    <mergeCell ref="A42:E42"/>
    <mergeCell ref="A44:G44"/>
  </mergeCells>
  <printOptions headings="false" gridLines="false" gridLinesSet="true" horizontalCentered="false" verticalCentered="false"/>
  <pageMargins left="0.75" right="0.75" top="1" bottom="1" header="0.511811023622047" footer="0.5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&amp;CRAB sampel fiktif  | 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true"/>
  </sheetPr>
  <dimension ref="A1:D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2"/>
    <col collapsed="false" customWidth="true" hidden="false" outlineLevel="0" max="3" min="3" style="0" width="22"/>
    <col collapsed="false" customWidth="true" hidden="false" outlineLevel="0" max="4" min="4" style="0" width="14"/>
  </cols>
  <sheetData>
    <row r="1" customFormat="false" ht="25.5" hidden="false" customHeight="true" outlineLevel="0" collapsed="false">
      <c r="A1" s="14" t="s">
        <v>155</v>
      </c>
      <c r="B1" s="14"/>
      <c r="C1" s="14"/>
      <c r="D1" s="14"/>
    </row>
    <row r="2" customFormat="false" ht="15" hidden="false" customHeight="false" outlineLevel="0" collapsed="false">
      <c r="A2" s="24" t="str">
        <f aca="false">Info!C6&amp;"  |  angka terhubung ke sheet RAB"</f>
        <v>Rumah tinggal contoh — tipe 36 (FIKTIF)  |  angka terhubung ke sheet RAB</v>
      </c>
      <c r="B2" s="24"/>
      <c r="C2" s="24"/>
      <c r="D2" s="24"/>
    </row>
    <row r="4" customFormat="false" ht="15" hidden="false" customHeight="false" outlineLevel="0" collapsed="false">
      <c r="A4" s="16" t="s">
        <v>112</v>
      </c>
      <c r="B4" s="16" t="s">
        <v>156</v>
      </c>
      <c r="C4" s="16" t="s">
        <v>115</v>
      </c>
      <c r="D4" s="16" t="s">
        <v>157</v>
      </c>
    </row>
    <row r="5" customFormat="false" ht="15" hidden="false" customHeight="false" outlineLevel="0" collapsed="false">
      <c r="A5" s="17" t="s">
        <v>158</v>
      </c>
      <c r="B5" s="43" t="s">
        <v>159</v>
      </c>
      <c r="C5" s="28" t="n">
        <f aca="false">RAB!F9</f>
        <v>1700000</v>
      </c>
      <c r="D5" s="44" t="n">
        <f aca="false">IF(C$11=0,0,C5/C$11)</f>
        <v>0.013963383081308</v>
      </c>
    </row>
    <row r="6" customFormat="false" ht="15" hidden="false" customHeight="false" outlineLevel="0" collapsed="false">
      <c r="A6" s="21" t="s">
        <v>160</v>
      </c>
      <c r="B6" s="45" t="s">
        <v>161</v>
      </c>
      <c r="C6" s="28" t="n">
        <f aca="false">RAB!F18</f>
        <v>29352000</v>
      </c>
      <c r="D6" s="46" t="n">
        <f aca="false">IF(C$11=0,0,C6/C$11)</f>
        <v>0.241090129530912</v>
      </c>
    </row>
    <row r="7" customFormat="false" ht="15" hidden="false" customHeight="false" outlineLevel="0" collapsed="false">
      <c r="A7" s="17" t="s">
        <v>162</v>
      </c>
      <c r="B7" s="43" t="s">
        <v>163</v>
      </c>
      <c r="C7" s="28" t="n">
        <f aca="false">RAB!F24</f>
        <v>46285000</v>
      </c>
      <c r="D7" s="44" t="n">
        <f aca="false">IF(C$11=0,0,C7/C$11)</f>
        <v>0.380173638775493</v>
      </c>
    </row>
    <row r="8" customFormat="false" ht="15" hidden="false" customHeight="false" outlineLevel="0" collapsed="false">
      <c r="A8" s="21" t="s">
        <v>164</v>
      </c>
      <c r="B8" s="45" t="s">
        <v>165</v>
      </c>
      <c r="C8" s="28" t="n">
        <f aca="false">RAB!F28</f>
        <v>20760000</v>
      </c>
      <c r="D8" s="46" t="n">
        <f aca="false">IF(C$11=0,0,C8/C$11)</f>
        <v>0.170517548687031</v>
      </c>
    </row>
    <row r="9" customFormat="false" ht="15" hidden="false" customHeight="false" outlineLevel="0" collapsed="false">
      <c r="A9" s="17" t="s">
        <v>166</v>
      </c>
      <c r="B9" s="43" t="s">
        <v>167</v>
      </c>
      <c r="C9" s="28" t="n">
        <f aca="false">RAB!F33</f>
        <v>15320000</v>
      </c>
      <c r="D9" s="44" t="n">
        <f aca="false">IF(C$11=0,0,C9/C$11)</f>
        <v>0.125834722826846</v>
      </c>
    </row>
    <row r="10" customFormat="false" ht="15" hidden="false" customHeight="false" outlineLevel="0" collapsed="false">
      <c r="A10" s="21" t="s">
        <v>168</v>
      </c>
      <c r="B10" s="45" t="s">
        <v>169</v>
      </c>
      <c r="C10" s="28" t="n">
        <f aca="false">RAB!F38</f>
        <v>8330000</v>
      </c>
      <c r="D10" s="46" t="n">
        <f aca="false">IF(C$11=0,0,C10/C$11)</f>
        <v>0.068420577098409</v>
      </c>
    </row>
    <row r="11" customFormat="false" ht="15" hidden="false" customHeight="false" outlineLevel="0" collapsed="false">
      <c r="A11" s="36"/>
      <c r="B11" s="36" t="s">
        <v>120</v>
      </c>
      <c r="C11" s="35" t="n">
        <f aca="false">SUM(C5:C10)</f>
        <v>121747000</v>
      </c>
      <c r="D11" s="47" t="n">
        <f aca="false">SUM(D5:D10)</f>
        <v>1</v>
      </c>
    </row>
    <row r="13" customFormat="false" ht="15" hidden="false" customHeight="false" outlineLevel="0" collapsed="false">
      <c r="B13" s="48" t="s">
        <v>21</v>
      </c>
      <c r="C13" s="49" t="n">
        <f aca="false">RAB!F41</f>
        <v>13392170</v>
      </c>
      <c r="D13" s="50" t="n">
        <f aca="false">Info!C20</f>
        <v>0.11</v>
      </c>
    </row>
    <row r="14" customFormat="false" ht="15" hidden="false" customHeight="false" outlineLevel="0" collapsed="false">
      <c r="B14" s="42" t="s">
        <v>153</v>
      </c>
      <c r="C14" s="41" t="n">
        <f aca="false">RAB!F42</f>
        <v>135139170</v>
      </c>
      <c r="D14" s="42"/>
    </row>
    <row r="16" customFormat="false" ht="15" hidden="false" customHeight="false" outlineLevel="0" collapsed="false">
      <c r="A16" s="8" t="s">
        <v>170</v>
      </c>
    </row>
    <row r="17" customFormat="false" ht="15" hidden="false" customHeight="false" outlineLevel="0" collapsed="false">
      <c r="A17" s="25" t="s">
        <v>171</v>
      </c>
      <c r="B17" s="25"/>
      <c r="C17" s="25"/>
      <c r="D17" s="25"/>
    </row>
  </sheetData>
  <mergeCells count="3">
    <mergeCell ref="A1:D1"/>
    <mergeCell ref="A2:D2"/>
    <mergeCell ref="A17:D17"/>
  </mergeCells>
  <printOptions headings="false" gridLines="false" gridLinesSet="true" horizontalCentered="false" verticalCentered="false"/>
  <pageMargins left="0.75" right="0.75" top="1" bottom="1" header="0.511811023622047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&amp;CRekap sampel  |  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D7D31"/>
    <pageSetUpPr fitToPage="true"/>
  </sheetPr>
  <dimension ref="A1:F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2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6" min="6" style="0" width="36"/>
  </cols>
  <sheetData>
    <row r="1" customFormat="false" ht="25.5" hidden="false" customHeight="true" outlineLevel="0" collapsed="false">
      <c r="A1" s="14" t="s">
        <v>172</v>
      </c>
      <c r="B1" s="14"/>
      <c r="C1" s="14"/>
      <c r="D1" s="14"/>
      <c r="E1" s="14"/>
      <c r="F1" s="14"/>
    </row>
    <row r="2" customFormat="false" ht="15" hidden="false" customHeight="false" outlineLevel="0" collapsed="false">
      <c r="A2" s="25" t="s">
        <v>173</v>
      </c>
      <c r="B2" s="25"/>
      <c r="C2" s="25"/>
      <c r="D2" s="25"/>
      <c r="E2" s="25"/>
      <c r="F2" s="25"/>
    </row>
    <row r="4" customFormat="false" ht="21.75" hidden="false" customHeight="true" outlineLevel="0" collapsed="false">
      <c r="A4" s="16" t="s">
        <v>34</v>
      </c>
      <c r="B4" s="16" t="s">
        <v>39</v>
      </c>
      <c r="C4" s="16" t="s">
        <v>174</v>
      </c>
      <c r="D4" s="16" t="s">
        <v>175</v>
      </c>
      <c r="E4" s="16" t="s">
        <v>176</v>
      </c>
      <c r="F4" s="16" t="s">
        <v>177</v>
      </c>
    </row>
    <row r="5" customFormat="false" ht="15" hidden="false" customHeight="false" outlineLevel="0" collapsed="false">
      <c r="A5" s="43" t="s">
        <v>178</v>
      </c>
      <c r="B5" s="17" t="s">
        <v>52</v>
      </c>
      <c r="C5" s="51" t="n">
        <f aca="false">RAB!D12</f>
        <v>1.6</v>
      </c>
      <c r="D5" s="52" t="n">
        <v>1</v>
      </c>
      <c r="E5" s="53" t="n">
        <f aca="false">C5*D5</f>
        <v>1.6</v>
      </c>
      <c r="F5" s="54" t="s">
        <v>179</v>
      </c>
    </row>
    <row r="6" customFormat="false" ht="15" hidden="false" customHeight="false" outlineLevel="0" collapsed="false">
      <c r="A6" s="45" t="s">
        <v>180</v>
      </c>
      <c r="B6" s="21" t="s">
        <v>52</v>
      </c>
      <c r="C6" s="55" t="n">
        <f aca="false">RAB!D13</f>
        <v>6.2</v>
      </c>
      <c r="D6" s="52" t="n">
        <v>1.2</v>
      </c>
      <c r="E6" s="56" t="n">
        <f aca="false">C6*D6</f>
        <v>7.44</v>
      </c>
      <c r="F6" s="57" t="s">
        <v>181</v>
      </c>
    </row>
    <row r="7" customFormat="false" ht="15" hidden="false" customHeight="false" outlineLevel="0" collapsed="false">
      <c r="A7" s="43" t="s">
        <v>182</v>
      </c>
      <c r="B7" s="17" t="s">
        <v>183</v>
      </c>
      <c r="C7" s="51" t="n">
        <f aca="false">RAB!D13</f>
        <v>6.2</v>
      </c>
      <c r="D7" s="52" t="n">
        <v>4.5</v>
      </c>
      <c r="E7" s="53" t="n">
        <f aca="false">C7*D7</f>
        <v>27.9</v>
      </c>
      <c r="F7" s="54" t="s">
        <v>184</v>
      </c>
    </row>
    <row r="8" customFormat="false" ht="15" hidden="false" customHeight="false" outlineLevel="0" collapsed="false">
      <c r="A8" s="45" t="s">
        <v>185</v>
      </c>
      <c r="B8" s="21" t="s">
        <v>186</v>
      </c>
      <c r="C8" s="55" t="n">
        <f aca="false">RAB!D14</f>
        <v>1.8</v>
      </c>
      <c r="D8" s="52" t="n">
        <v>120</v>
      </c>
      <c r="E8" s="56" t="n">
        <f aca="false">C8*D8</f>
        <v>216</v>
      </c>
      <c r="F8" s="57" t="s">
        <v>187</v>
      </c>
    </row>
    <row r="9" customFormat="false" ht="15" hidden="false" customHeight="false" outlineLevel="0" collapsed="false">
      <c r="A9" s="43" t="s">
        <v>188</v>
      </c>
      <c r="B9" s="17" t="s">
        <v>189</v>
      </c>
      <c r="C9" s="51" t="n">
        <f aca="false">RAB!D20</f>
        <v>92</v>
      </c>
      <c r="D9" s="52" t="n">
        <v>70</v>
      </c>
      <c r="E9" s="53" t="n">
        <f aca="false">C9*D9</f>
        <v>6440</v>
      </c>
      <c r="F9" s="54" t="s">
        <v>190</v>
      </c>
    </row>
    <row r="10" customFormat="false" ht="15" hidden="false" customHeight="false" outlineLevel="0" collapsed="false">
      <c r="A10" s="45" t="s">
        <v>191</v>
      </c>
      <c r="B10" s="21" t="s">
        <v>183</v>
      </c>
      <c r="C10" s="55" t="n">
        <f aca="false">RAB!D21</f>
        <v>184</v>
      </c>
      <c r="D10" s="52" t="n">
        <v>0.15</v>
      </c>
      <c r="E10" s="56" t="n">
        <f aca="false">C10*D10</f>
        <v>27.6</v>
      </c>
      <c r="F10" s="57" t="s">
        <v>192</v>
      </c>
    </row>
    <row r="11" customFormat="false" ht="15" hidden="false" customHeight="false" outlineLevel="0" collapsed="false">
      <c r="A11" s="43" t="s">
        <v>193</v>
      </c>
      <c r="B11" s="17" t="s">
        <v>44</v>
      </c>
      <c r="C11" s="51" t="n">
        <f aca="false">RAB!D26</f>
        <v>52</v>
      </c>
      <c r="D11" s="52" t="n">
        <v>1.1</v>
      </c>
      <c r="E11" s="53" t="n">
        <f aca="false">C11*D11</f>
        <v>57.2</v>
      </c>
      <c r="F11" s="54" t="s">
        <v>194</v>
      </c>
    </row>
    <row r="12" customFormat="false" ht="15" hidden="false" customHeight="false" outlineLevel="0" collapsed="false">
      <c r="A12" s="45" t="s">
        <v>195</v>
      </c>
      <c r="B12" s="21" t="s">
        <v>44</v>
      </c>
      <c r="C12" s="55" t="n">
        <f aca="false">RAB!D26</f>
        <v>52</v>
      </c>
      <c r="D12" s="52" t="n">
        <v>1</v>
      </c>
      <c r="E12" s="56" t="n">
        <f aca="false">C12*D12</f>
        <v>52</v>
      </c>
      <c r="F12" s="57" t="s">
        <v>196</v>
      </c>
    </row>
    <row r="13" customFormat="false" ht="15" hidden="false" customHeight="false" outlineLevel="0" collapsed="false">
      <c r="A13" s="43" t="s">
        <v>197</v>
      </c>
      <c r="B13" s="17" t="s">
        <v>44</v>
      </c>
      <c r="C13" s="51" t="n">
        <f aca="false">RAB!D30</f>
        <v>36</v>
      </c>
      <c r="D13" s="52" t="n">
        <v>1.08</v>
      </c>
      <c r="E13" s="53" t="n">
        <f aca="false">C13*D13</f>
        <v>38.88</v>
      </c>
      <c r="F13" s="54" t="s">
        <v>198</v>
      </c>
    </row>
    <row r="14" customFormat="false" ht="15" hidden="false" customHeight="false" outlineLevel="0" collapsed="false">
      <c r="A14" s="45" t="s">
        <v>199</v>
      </c>
      <c r="B14" s="21" t="s">
        <v>186</v>
      </c>
      <c r="C14" s="55" t="n">
        <f aca="false">(RAB!D31+RAB!D32)</f>
        <v>184</v>
      </c>
      <c r="D14" s="52" t="n">
        <v>0.25</v>
      </c>
      <c r="E14" s="56" t="n">
        <f aca="false">C14*D14</f>
        <v>46</v>
      </c>
      <c r="F14" s="57" t="s">
        <v>200</v>
      </c>
    </row>
    <row r="16" customFormat="false" ht="15" hidden="false" customHeight="false" outlineLevel="0" collapsed="false">
      <c r="A16" s="25" t="s">
        <v>201</v>
      </c>
      <c r="B16" s="25"/>
      <c r="C16" s="25"/>
      <c r="D16" s="25"/>
      <c r="E16" s="25"/>
      <c r="F16" s="25"/>
    </row>
  </sheetData>
  <mergeCells count="3">
    <mergeCell ref="A1:F1"/>
    <mergeCell ref="A2:F2"/>
    <mergeCell ref="A16:F16"/>
  </mergeCells>
  <printOptions headings="false" gridLines="false" gridLinesSet="true" horizontalCentered="false" verticalCentered="false"/>
  <pageMargins left="0.75" right="0.75" top="1" bottom="1" header="0.511811023622047" footer="0.5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&amp;CRekap material sampel  | 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2026-10-02T19:54:04Z</dcterms:created>
  <dc:creator>openpyxl</dc:creator>
  <dc:description/>
  <dc:language>en-US</dc:language>
  <cp:lastModifiedBy/>
  <dcterms:modified xsi:type="dcterms:W3CDTF">2026-10-02T19:54:09Z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